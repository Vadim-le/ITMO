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vadim\OneDrive\Рабочий стол\информатика\lab6\"/>
    </mc:Choice>
  </mc:AlternateContent>
  <bookViews>
    <workbookView minimized="1" xWindow="0" yWindow="0" windowWidth="11472" windowHeight="8796" firstSheet="6" activeTab="7"/>
  </bookViews>
  <sheets>
    <sheet name="A-4" sheetId="1" r:id="rId1"/>
    <sheet name="Справочник" sheetId="2" r:id="rId2"/>
    <sheet name="Расчет" sheetId="3" r:id="rId3"/>
    <sheet name="Диаграмма" sheetId="5" r:id="rId4"/>
    <sheet name="D(2)" sheetId="13" r:id="rId5"/>
    <sheet name="F(part 1)" sheetId="9" r:id="rId6"/>
    <sheet name="F(part2)" sheetId="10" r:id="rId7"/>
    <sheet name="G(3)" sheetId="14" r:id="rId8"/>
    <sheet name="Лист8" sheetId="22" r:id="rId9"/>
  </sheets>
  <definedNames>
    <definedName name="Семенова">Справочник!$C$5+Расчет!$I$7</definedName>
    <definedName name="Семенова_А.Н." localSheetId="2">Справочник!$C$5</definedName>
    <definedName name="Смету_проверил" localSheetId="2">Расчет!$I$7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9" l="1"/>
  <c r="C6" i="9"/>
  <c r="C7" i="9"/>
  <c r="C8" i="9"/>
  <c r="C9" i="9"/>
  <c r="C10" i="9"/>
  <c r="C11" i="9"/>
  <c r="C12" i="9"/>
  <c r="C13" i="9"/>
  <c r="C4" i="9"/>
  <c r="C3" i="9"/>
  <c r="C14" i="9" s="1"/>
  <c r="I6" i="3" l="1"/>
  <c r="I7" i="3"/>
  <c r="F4" i="3" l="1"/>
  <c r="F7" i="3"/>
  <c r="F6" i="3"/>
  <c r="F5" i="3"/>
  <c r="C26" i="1"/>
  <c r="C12" i="1"/>
  <c r="C13" i="1"/>
  <c r="C14" i="1"/>
  <c r="C15" i="1"/>
  <c r="C16" i="1"/>
  <c r="C17" i="1"/>
  <c r="C18" i="1"/>
  <c r="C19" i="1"/>
  <c r="C20" i="1"/>
  <c r="C21" i="1"/>
  <c r="C22" i="1"/>
  <c r="C23" i="1"/>
  <c r="C11" i="1"/>
  <c r="B12" i="1"/>
  <c r="B13" i="1"/>
  <c r="B14" i="1"/>
  <c r="B15" i="1"/>
  <c r="B16" i="1"/>
  <c r="B17" i="1"/>
  <c r="B18" i="1"/>
  <c r="B19" i="1"/>
  <c r="B20" i="1"/>
  <c r="B21" i="1"/>
  <c r="B22" i="1"/>
  <c r="B23" i="1"/>
  <c r="B11" i="1"/>
  <c r="B26" i="1"/>
  <c r="F9" i="3" l="1"/>
  <c r="F10" i="3" s="1"/>
  <c r="C25" i="1"/>
  <c r="C24" i="1"/>
  <c r="B25" i="1"/>
  <c r="B24" i="1"/>
  <c r="F11" i="3" l="1"/>
  <c r="F12" i="3"/>
  <c r="F13" i="3"/>
  <c r="F14" i="3" l="1"/>
</calcChain>
</file>

<file path=xl/sharedStrings.xml><?xml version="1.0" encoding="utf-8"?>
<sst xmlns="http://schemas.openxmlformats.org/spreadsheetml/2006/main" count="202" uniqueCount="142">
  <si>
    <t>Шаг изменения аргумента:</t>
  </si>
  <si>
    <t>Максимальное значение аргумента:</t>
  </si>
  <si>
    <t>Минимальное значение аргумента:</t>
  </si>
  <si>
    <t>Искомое значение:</t>
  </si>
  <si>
    <t>Расчет выражения на заданном интервале</t>
  </si>
  <si>
    <t>Значение выражения</t>
  </si>
  <si>
    <t>Аргумент X</t>
  </si>
  <si>
    <t>Максимальное значениение выражения</t>
  </si>
  <si>
    <t>Минимальное значение выражения</t>
  </si>
  <si>
    <t>Количесвто искомых значений</t>
  </si>
  <si>
    <t>при А = 100</t>
  </si>
  <si>
    <t>при А = 120</t>
  </si>
  <si>
    <t>Параметр</t>
  </si>
  <si>
    <t>Значение</t>
  </si>
  <si>
    <t>Директор</t>
  </si>
  <si>
    <t>Сметчик</t>
  </si>
  <si>
    <t>Рентабельность</t>
  </si>
  <si>
    <t>Название</t>
  </si>
  <si>
    <t xml:space="preserve"> Транспортные расходы</t>
  </si>
  <si>
    <t>Накладные расходы</t>
  </si>
  <si>
    <t>НДС</t>
  </si>
  <si>
    <t>"НОВЫЙ ВЕК"</t>
  </si>
  <si>
    <t>Семенова А.Н.</t>
  </si>
  <si>
    <t>Кудрин В.В.</t>
  </si>
  <si>
    <t>Смета на проведение работ</t>
  </si>
  <si>
    <t>№ п/п</t>
  </si>
  <si>
    <t>Наименование работы</t>
  </si>
  <si>
    <t>Ед. изм</t>
  </si>
  <si>
    <t>Кол-во</t>
  </si>
  <si>
    <t>Стоимость ед.,руб</t>
  </si>
  <si>
    <t>Общая стоимость</t>
  </si>
  <si>
    <t>Подготовка помещения</t>
  </si>
  <si>
    <t>Прокладка электролиний</t>
  </si>
  <si>
    <t>Покраска стен</t>
  </si>
  <si>
    <t>Перекраска стен</t>
  </si>
  <si>
    <t>Уборка помещения</t>
  </si>
  <si>
    <t>погонный м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</si>
  <si>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</si>
  <si>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/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</si>
  <si>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/>
    </r>
  </si>
  <si>
    <t>Итого прямых затрат:</t>
  </si>
  <si>
    <t>Рентабельность:</t>
  </si>
  <si>
    <t>Транспортные расходы:</t>
  </si>
  <si>
    <t>Накладные расходы:</t>
  </si>
  <si>
    <t>НДС:</t>
  </si>
  <si>
    <t>Итого:</t>
  </si>
  <si>
    <t>%</t>
  </si>
  <si>
    <t>Смету составил:</t>
  </si>
  <si>
    <t>Смету проверил:</t>
  </si>
  <si>
    <t>Дата:</t>
  </si>
  <si>
    <t>Таблица1</t>
  </si>
  <si>
    <t>Наименование товара</t>
  </si>
  <si>
    <t>Количество, шт</t>
  </si>
  <si>
    <t>Итоговая цена</t>
  </si>
  <si>
    <t>Клавиатура Logitech</t>
  </si>
  <si>
    <t>Накопитель на ЖМД SATA</t>
  </si>
  <si>
    <t>Материнская плата ASRock</t>
  </si>
  <si>
    <t>Корпус Minitower</t>
  </si>
  <si>
    <t>Модуль памяти Kingston</t>
  </si>
  <si>
    <t>Ноутбук Lenovo</t>
  </si>
  <si>
    <t>Мышь Logitech</t>
  </si>
  <si>
    <t>Мышь Microsoft</t>
  </si>
  <si>
    <t>Монитор Acer</t>
  </si>
  <si>
    <t>Принтер Canon</t>
  </si>
  <si>
    <t>Гарнитура Phillips</t>
  </si>
  <si>
    <t>ИТОГО:</t>
  </si>
  <si>
    <t>Таблица2</t>
  </si>
  <si>
    <t>Цена, $/шт</t>
  </si>
  <si>
    <t>Дискета Verbatim</t>
  </si>
  <si>
    <t>Принтер Acer</t>
  </si>
  <si>
    <t>Материнская плата Asus</t>
  </si>
  <si>
    <t>Номер</t>
  </si>
  <si>
    <t>Страна</t>
  </si>
  <si>
    <t>Диапазон высоты</t>
  </si>
  <si>
    <t>Высота</t>
  </si>
  <si>
    <t>Первый восходитель</t>
  </si>
  <si>
    <t>Азия</t>
  </si>
  <si>
    <t>Европа</t>
  </si>
  <si>
    <t xml:space="preserve">Америка </t>
  </si>
  <si>
    <t>Часть света</t>
  </si>
  <si>
    <t>Джомолунгма</t>
  </si>
  <si>
    <t>Чогори</t>
  </si>
  <si>
    <t>Канченджанга</t>
  </si>
  <si>
    <t>Хималчули</t>
  </si>
  <si>
    <t>Дастогхил</t>
  </si>
  <si>
    <t>Казбек</t>
  </si>
  <si>
    <t>Эльбрус</t>
  </si>
  <si>
    <t>Денали</t>
  </si>
  <si>
    <t>Салкантай</t>
  </si>
  <si>
    <t>Пик Раздельная</t>
  </si>
  <si>
    <t>Чопикальки</t>
  </si>
  <si>
    <t>Тамсерку</t>
  </si>
  <si>
    <t>Индрасан</t>
  </si>
  <si>
    <t>Цейхох</t>
  </si>
  <si>
    <t>Ф.Спенсер</t>
  </si>
  <si>
    <t>Килар Хаширов</t>
  </si>
  <si>
    <t>Хадсон Стак</t>
  </si>
  <si>
    <t>Бронниман</t>
  </si>
  <si>
    <t>Карл Вин</t>
  </si>
  <si>
    <t>Энни Смит-Пек</t>
  </si>
  <si>
    <t>Эдмунд Хилари</t>
  </si>
  <si>
    <t>Японцы</t>
  </si>
  <si>
    <t>Джон Ханта</t>
  </si>
  <si>
    <t>Джордж Бэндом</t>
  </si>
  <si>
    <t>Джиро Йамада</t>
  </si>
  <si>
    <t>Гюнтер Старкер</t>
  </si>
  <si>
    <t>Непал</t>
  </si>
  <si>
    <t>Пакистан</t>
  </si>
  <si>
    <t>Индия</t>
  </si>
  <si>
    <t>Россия</t>
  </si>
  <si>
    <t>Грузия</t>
  </si>
  <si>
    <t>США</t>
  </si>
  <si>
    <t>Перу</t>
  </si>
  <si>
    <t>4001 – 5000 метров</t>
  </si>
  <si>
    <t>5001 – 6000 метров</t>
  </si>
  <si>
    <t>6001 – 7000 метров</t>
  </si>
  <si>
    <t>7001 – 8000 метров</t>
  </si>
  <si>
    <t>8001 метр</t>
  </si>
  <si>
    <t>Америка</t>
  </si>
  <si>
    <t>Пик Дифур</t>
  </si>
  <si>
    <t>Швейцария</t>
  </si>
  <si>
    <t xml:space="preserve">Азия </t>
  </si>
  <si>
    <t xml:space="preserve">Ардито Дезио </t>
  </si>
  <si>
    <t>Чарль Худсон</t>
  </si>
  <si>
    <t>Адолф Мур</t>
  </si>
  <si>
    <t>Год первого восзождения</t>
  </si>
  <si>
    <t>Италия</t>
  </si>
  <si>
    <t>Дата начала турнира</t>
  </si>
  <si>
    <t>Номер тура</t>
  </si>
  <si>
    <t>Дата</t>
  </si>
  <si>
    <t>Время</t>
  </si>
  <si>
    <t>Команда 1</t>
  </si>
  <si>
    <t>Команда 2</t>
  </si>
  <si>
    <t>Команда 3</t>
  </si>
  <si>
    <t>Команда 4</t>
  </si>
  <si>
    <t>Команда 5</t>
  </si>
  <si>
    <t>Команда 6</t>
  </si>
  <si>
    <t>Команда 7</t>
  </si>
  <si>
    <t>Команда 8</t>
  </si>
  <si>
    <t>Участник B</t>
  </si>
  <si>
    <t>Участник A</t>
  </si>
  <si>
    <t>Счет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</si>
</sst>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2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15" applyBorder="0"/>
  </cellStyleXfs>
  <cellXfs count="106">
    <xf numFmtId="0" fontId="0" fillId="0" borderId="0" xfId="0"/>
    <xf numFmtId="0" fontId="0" fillId="0" borderId="0" xfId="0" applyAlignment="1">
      <alignment horizontal="right"/>
    </xf>
    <xf numFmtId="0" fontId="0" fillId="0" borderId="1" xfId="0" applyFill="1" applyBorder="1" applyAlignment="1"/>
    <xf numFmtId="0" fontId="0" fillId="0" borderId="2" xfId="0" applyFill="1" applyBorder="1" applyAlignment="1"/>
    <xf numFmtId="0" fontId="0" fillId="0" borderId="2" xfId="0" applyFill="1" applyBorder="1" applyAlignment="1">
      <alignment horizontal="right"/>
    </xf>
    <xf numFmtId="0" fontId="0" fillId="0" borderId="3" xfId="0" applyFill="1" applyBorder="1" applyAlignment="1">
      <alignment horizontal="right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11" xfId="0" applyBorder="1" applyAlignment="1">
      <alignment horizontal="right" wrapText="1"/>
    </xf>
    <xf numFmtId="0" fontId="0" fillId="0" borderId="17" xfId="0" applyBorder="1" applyAlignment="1">
      <alignment horizontal="right" wrapText="1"/>
    </xf>
    <xf numFmtId="0" fontId="0" fillId="0" borderId="7" xfId="0" applyBorder="1" applyAlignment="1">
      <alignment horizontal="right" wrapText="1"/>
    </xf>
    <xf numFmtId="0" fontId="0" fillId="0" borderId="36" xfId="0" applyBorder="1"/>
    <xf numFmtId="0" fontId="0" fillId="0" borderId="21" xfId="0" applyBorder="1"/>
    <xf numFmtId="0" fontId="0" fillId="0" borderId="45" xfId="0" applyBorder="1"/>
    <xf numFmtId="0" fontId="0" fillId="0" borderId="0" xfId="0" applyFont="1" applyBorder="1"/>
    <xf numFmtId="9" fontId="0" fillId="0" borderId="10" xfId="0" applyNumberFormat="1" applyBorder="1"/>
    <xf numFmtId="9" fontId="0" fillId="0" borderId="22" xfId="0" applyNumberFormat="1" applyBorder="1"/>
    <xf numFmtId="9" fontId="0" fillId="0" borderId="44" xfId="0" applyNumberFormat="1" applyBorder="1"/>
    <xf numFmtId="9" fontId="0" fillId="0" borderId="41" xfId="0" applyNumberFormat="1" applyBorder="1"/>
    <xf numFmtId="0" fontId="0" fillId="0" borderId="35" xfId="0" applyBorder="1"/>
    <xf numFmtId="0" fontId="0" fillId="0" borderId="35" xfId="0" applyBorder="1" applyAlignment="1">
      <alignment vertical="center"/>
    </xf>
    <xf numFmtId="0" fontId="0" fillId="0" borderId="39" xfId="0" applyBorder="1"/>
    <xf numFmtId="49" fontId="0" fillId="0" borderId="43" xfId="0" applyNumberFormat="1" applyBorder="1"/>
    <xf numFmtId="49" fontId="0" fillId="0" borderId="9" xfId="0" applyNumberFormat="1" applyBorder="1"/>
    <xf numFmtId="0" fontId="0" fillId="0" borderId="46" xfId="0" applyBorder="1"/>
    <xf numFmtId="49" fontId="0" fillId="0" borderId="40" xfId="0" applyNumberFormat="1" applyBorder="1"/>
    <xf numFmtId="49" fontId="0" fillId="0" borderId="47" xfId="0" applyNumberFormat="1" applyBorder="1"/>
    <xf numFmtId="0" fontId="0" fillId="0" borderId="24" xfId="0" applyBorder="1"/>
    <xf numFmtId="49" fontId="0" fillId="0" borderId="46" xfId="0" applyNumberFormat="1" applyBorder="1"/>
    <xf numFmtId="0" fontId="0" fillId="0" borderId="48" xfId="0" applyBorder="1"/>
    <xf numFmtId="0" fontId="0" fillId="0" borderId="49" xfId="0" applyBorder="1"/>
    <xf numFmtId="49" fontId="0" fillId="0" borderId="13" xfId="0" applyNumberFormat="1" applyBorder="1"/>
    <xf numFmtId="0" fontId="0" fillId="0" borderId="30" xfId="0" applyBorder="1"/>
    <xf numFmtId="49" fontId="0" fillId="0" borderId="30" xfId="0" applyNumberFormat="1" applyBorder="1"/>
    <xf numFmtId="49" fontId="0" fillId="0" borderId="26" xfId="0" applyNumberFormat="1" applyBorder="1"/>
    <xf numFmtId="0" fontId="0" fillId="0" borderId="37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48" xfId="0" applyBorder="1" applyAlignment="1">
      <alignment vertical="top" wrapText="1"/>
    </xf>
    <xf numFmtId="0" fontId="0" fillId="0" borderId="49" xfId="0" applyBorder="1" applyAlignment="1">
      <alignment wrapText="1"/>
    </xf>
    <xf numFmtId="14" fontId="0" fillId="0" borderId="0" xfId="0" applyNumberFormat="1"/>
    <xf numFmtId="0" fontId="0" fillId="0" borderId="50" xfId="0" applyBorder="1"/>
    <xf numFmtId="0" fontId="0" fillId="0" borderId="0" xfId="0" applyAlignment="1"/>
    <xf numFmtId="0" fontId="1" fillId="0" borderId="4" xfId="0" applyFont="1" applyBorder="1"/>
    <xf numFmtId="0" fontId="0" fillId="0" borderId="51" xfId="0" applyBorder="1"/>
    <xf numFmtId="0" fontId="0" fillId="0" borderId="3" xfId="0" applyBorder="1" applyAlignment="1">
      <alignment horizontal="right"/>
    </xf>
    <xf numFmtId="0" fontId="0" fillId="0" borderId="3" xfId="0" applyBorder="1"/>
    <xf numFmtId="0" fontId="0" fillId="0" borderId="52" xfId="0" applyBorder="1"/>
    <xf numFmtId="0" fontId="1" fillId="0" borderId="1" xfId="0" applyFont="1" applyBorder="1"/>
    <xf numFmtId="0" fontId="0" fillId="0" borderId="53" xfId="0" applyBorder="1"/>
    <xf numFmtId="0" fontId="0" fillId="0" borderId="34" xfId="0" applyBorder="1"/>
    <xf numFmtId="0" fontId="0" fillId="0" borderId="7" xfId="0" applyBorder="1"/>
    <xf numFmtId="0" fontId="0" fillId="0" borderId="22" xfId="0" applyBorder="1"/>
    <xf numFmtId="0" fontId="1" fillId="0" borderId="9" xfId="0" applyFont="1" applyBorder="1"/>
    <xf numFmtId="0" fontId="0" fillId="0" borderId="9" xfId="0" applyNumberFormat="1" applyBorder="1"/>
    <xf numFmtId="0" fontId="0" fillId="0" borderId="9" xfId="0" applyNumberFormat="1" applyBorder="1" applyAlignment="1">
      <alignment horizontal="right"/>
    </xf>
    <xf numFmtId="14" fontId="0" fillId="0" borderId="9" xfId="0" applyNumberFormat="1" applyBorder="1"/>
    <xf numFmtId="20" fontId="0" fillId="0" borderId="9" xfId="0" applyNumberFormat="1" applyBorder="1"/>
    <xf numFmtId="0" fontId="0" fillId="0" borderId="0" xfId="0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17" xfId="0" applyBorder="1" applyAlignment="1">
      <alignment horizontal="left" wrapText="1"/>
    </xf>
    <xf numFmtId="0" fontId="0" fillId="0" borderId="43" xfId="0" applyBorder="1" applyAlignment="1">
      <alignment horizontal="left" wrapText="1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38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</cellXfs>
  <cellStyles count="2">
    <cellStyle name="Обычный" xfId="0" builtinId="0"/>
    <cellStyle name="Стиль 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Расчет!$A$9</c:f>
              <c:strCache>
                <c:ptCount val="1"/>
                <c:pt idx="0">
                  <c:v>Итого прямых затрат: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Расчет!$F$9</c:f>
              <c:numCache>
                <c:formatCode>General</c:formatCode>
                <c:ptCount val="1"/>
                <c:pt idx="0">
                  <c:v>25400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529-4540-9351-08DCB2A2C8D4}"/>
            </c:ext>
          </c:extLst>
        </c:ser>
        <c:ser>
          <c:idx val="1"/>
          <c:order val="1"/>
          <c:tx>
            <c:strRef>
              <c:f>Расчет!$A$10</c:f>
              <c:strCache>
                <c:ptCount val="1"/>
                <c:pt idx="0">
                  <c:v>Транспортные расходы:</c:v>
                </c:pt>
              </c:strCache>
            </c:strRef>
          </c:tx>
          <c:spPr>
            <a:solidFill>
              <a:srgbClr val="7030A0"/>
            </a:solidFill>
            <a:ln w="19050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Расчет!$F$10</c:f>
              <c:numCache>
                <c:formatCode>General</c:formatCode>
                <c:ptCount val="1"/>
                <c:pt idx="0">
                  <c:v>3556.0000000000005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529-4540-9351-08DCB2A2C8D4}"/>
            </c:ext>
          </c:extLst>
        </c:ser>
        <c:ser>
          <c:idx val="2"/>
          <c:order val="2"/>
          <c:tx>
            <c:strRef>
              <c:f>Расчет!$A$11</c:f>
              <c:strCache>
                <c:ptCount val="1"/>
                <c:pt idx="0">
                  <c:v>Рентабельность:</c:v>
                </c:pt>
              </c:strCache>
            </c:strRef>
          </c:tx>
          <c:spPr>
            <a:solidFill>
              <a:srgbClr val="FFFF00"/>
            </a:solidFill>
            <a:ln w="19050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Расчет!$F$11</c:f>
              <c:numCache>
                <c:formatCode>General</c:formatCode>
                <c:ptCount val="1"/>
                <c:pt idx="0">
                  <c:v>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529-4540-9351-08DCB2A2C8D4}"/>
            </c:ext>
          </c:extLst>
        </c:ser>
        <c:ser>
          <c:idx val="3"/>
          <c:order val="3"/>
          <c:tx>
            <c:strRef>
              <c:f>Расчет!$A$12</c:f>
              <c:strCache>
                <c:ptCount val="1"/>
                <c:pt idx="0">
                  <c:v>Накладные расходы:</c:v>
                </c:pt>
              </c:strCache>
            </c:strRef>
          </c:tx>
          <c:spPr>
            <a:solidFill>
              <a:srgbClr val="92D050"/>
            </a:solidFill>
            <a:ln w="19050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Расчет!$F$12</c:f>
              <c:numCache>
                <c:formatCode>General</c:formatCode>
                <c:ptCount val="1"/>
                <c:pt idx="0">
                  <c:v>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529-4540-9351-08DCB2A2C8D4}"/>
            </c:ext>
          </c:extLst>
        </c:ser>
        <c:ser>
          <c:idx val="4"/>
          <c:order val="4"/>
          <c:tx>
            <c:strRef>
              <c:f>Расчет!$A$13</c:f>
              <c:strCache>
                <c:ptCount val="1"/>
                <c:pt idx="0">
                  <c:v>НДС: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9050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Расчет!$F$13</c:f>
              <c:numCache>
                <c:formatCode>General</c:formatCode>
                <c:ptCount val="1"/>
                <c:pt idx="0">
                  <c:v>5080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529-4540-9351-08DCB2A2C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61397551"/>
        <c:axId val="763893823"/>
      </c:barChart>
      <c:catAx>
        <c:axId val="7613975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3893823"/>
        <c:crosses val="autoZero"/>
        <c:auto val="1"/>
        <c:lblAlgn val="ctr"/>
        <c:lblOffset val="100"/>
        <c:noMultiLvlLbl val="0"/>
      </c:catAx>
      <c:valAx>
        <c:axId val="7638938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397551"/>
        <c:crosses val="autoZero"/>
        <c:crossBetween val="between"/>
      </c:valAx>
      <c:spPr>
        <a:solidFill>
          <a:schemeClr val="tx1">
            <a:lumMod val="50000"/>
            <a:lumOff val="50000"/>
          </a:schemeClr>
        </a:solidFill>
        <a:ln w="12700"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26</xdr:row>
      <xdr:rowOff>53340</xdr:rowOff>
    </xdr:from>
    <xdr:to>
      <xdr:col>24</xdr:col>
      <xdr:colOff>228600</xdr:colOff>
      <xdr:row>40</xdr:row>
      <xdr:rowOff>99060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10</xdr:row>
          <xdr:rowOff>60960</xdr:rowOff>
        </xdr:from>
        <xdr:to>
          <xdr:col>3</xdr:col>
          <xdr:colOff>106680</xdr:colOff>
          <xdr:row>12</xdr:row>
          <xdr:rowOff>83820</xdr:rowOff>
        </xdr:to>
        <xdr:sp macro="" textlink="">
          <xdr:nvSpPr>
            <xdr:cNvPr id="10243" name="CommandButton1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251460</xdr:colOff>
          <xdr:row>10</xdr:row>
          <xdr:rowOff>60960</xdr:rowOff>
        </xdr:from>
        <xdr:to>
          <xdr:col>2</xdr:col>
          <xdr:colOff>556260</xdr:colOff>
          <xdr:row>12</xdr:row>
          <xdr:rowOff>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3" name="Таблица13" displayName="Таблица13" ref="A1:A16" totalsRowShown="0">
  <autoFilter ref="A1:A16"/>
  <tableColumns count="1">
    <tableColumn id="1" name="Номер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4" name="Таблица14" displayName="Таблица14" ref="B1:H16" totalsRowShown="0">
  <autoFilter ref="B1:H16"/>
  <tableColumns count="7">
    <tableColumn id="1" name="Часть света"/>
    <tableColumn id="2" name="Страна"/>
    <tableColumn id="3" name="Название"/>
    <tableColumn id="4" name="Диапазон высоты"/>
    <tableColumn id="5" name="Высота"/>
    <tableColumn id="6" name="Первый восходитель"/>
    <tableColumn id="7" name="Год первого восзождения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opLeftCell="A19" workbookViewId="0">
      <selection activeCell="D25" sqref="D25"/>
    </sheetView>
  </sheetViews>
  <sheetFormatPr defaultRowHeight="14.4" x14ac:dyDescent="0.3"/>
  <cols>
    <col min="1" max="1" width="14.6640625" customWidth="1"/>
    <col min="2" max="2" width="23.21875" customWidth="1"/>
    <col min="3" max="3" width="23.44140625" customWidth="1"/>
  </cols>
  <sheetData>
    <row r="1" spans="1:3" ht="15" thickBot="1" x14ac:dyDescent="0.35"/>
    <row r="2" spans="1:3" x14ac:dyDescent="0.3">
      <c r="A2" s="75" t="s">
        <v>2</v>
      </c>
      <c r="B2" s="75"/>
      <c r="C2" s="2">
        <v>-90</v>
      </c>
    </row>
    <row r="3" spans="1:3" x14ac:dyDescent="0.3">
      <c r="A3" s="75" t="s">
        <v>1</v>
      </c>
      <c r="B3" s="75"/>
      <c r="C3" s="3">
        <v>90</v>
      </c>
    </row>
    <row r="4" spans="1:3" x14ac:dyDescent="0.3">
      <c r="A4" s="75" t="s">
        <v>0</v>
      </c>
      <c r="B4" s="75"/>
      <c r="C4" s="4">
        <v>15</v>
      </c>
    </row>
    <row r="5" spans="1:3" ht="15" thickBot="1" x14ac:dyDescent="0.35">
      <c r="B5" s="1" t="s">
        <v>3</v>
      </c>
      <c r="C5" s="5">
        <v>-0.77</v>
      </c>
    </row>
    <row r="7" spans="1:3" x14ac:dyDescent="0.3">
      <c r="A7" s="76" t="s">
        <v>4</v>
      </c>
      <c r="B7" s="77"/>
      <c r="C7" s="77"/>
    </row>
    <row r="8" spans="1:3" ht="15" thickBot="1" x14ac:dyDescent="0.35">
      <c r="A8" s="7"/>
      <c r="B8" s="7"/>
      <c r="C8" s="7"/>
    </row>
    <row r="9" spans="1:3" x14ac:dyDescent="0.3">
      <c r="A9" s="80" t="s">
        <v>6</v>
      </c>
      <c r="B9" s="78" t="s">
        <v>5</v>
      </c>
      <c r="C9" s="79"/>
    </row>
    <row r="10" spans="1:3" ht="15" thickBot="1" x14ac:dyDescent="0.35">
      <c r="A10" s="81"/>
      <c r="B10" s="18" t="s">
        <v>10</v>
      </c>
      <c r="C10" s="19" t="s">
        <v>11</v>
      </c>
    </row>
    <row r="11" spans="1:3" ht="15" thickBot="1" x14ac:dyDescent="0.35">
      <c r="A11" s="6">
        <v>-90</v>
      </c>
      <c r="B11" s="23">
        <f>ROUND(SIN(100*A11)/COS(100*A11) - SQRT(ABS(A11/100)),2)</f>
        <v>-0.17</v>
      </c>
      <c r="C11" s="23">
        <f>ROUND(SIN(120*A11)/COS(120*A11) - SQRT(ABS(A11/120)),2)</f>
        <v>0.15</v>
      </c>
    </row>
    <row r="12" spans="1:3" ht="15" thickBot="1" x14ac:dyDescent="0.35">
      <c r="A12" s="6">
        <v>-75</v>
      </c>
      <c r="B12" s="23">
        <f t="shared" ref="B12:B23" si="0">ROUND(SIN(100*A12)/COS(100*A12) - SQRT(ABS(A12/100)),2)</f>
        <v>-2.4900000000000002</v>
      </c>
      <c r="C12" s="23">
        <f t="shared" ref="C12:C23" si="1">ROUND(SIN(120*A12)/COS(120*A12) - SQRT(ABS(A12/120)),2)</f>
        <v>-0.01</v>
      </c>
    </row>
    <row r="13" spans="1:3" ht="15" thickBot="1" x14ac:dyDescent="0.35">
      <c r="A13" s="6">
        <v>-60</v>
      </c>
      <c r="B13" s="23">
        <f t="shared" si="0"/>
        <v>-0.3</v>
      </c>
      <c r="C13" s="23">
        <f t="shared" si="1"/>
        <v>-0.12</v>
      </c>
    </row>
    <row r="14" spans="1:3" ht="15" thickBot="1" x14ac:dyDescent="0.35">
      <c r="A14" s="21">
        <v>-45</v>
      </c>
      <c r="B14" s="23">
        <f t="shared" si="0"/>
        <v>-3.58</v>
      </c>
      <c r="C14" s="23">
        <f t="shared" si="1"/>
        <v>-0.19</v>
      </c>
    </row>
    <row r="15" spans="1:3" ht="15" thickBot="1" x14ac:dyDescent="0.35">
      <c r="A15" s="21">
        <v>-30</v>
      </c>
      <c r="B15" s="23">
        <f t="shared" si="0"/>
        <v>-0.32</v>
      </c>
      <c r="C15" s="23">
        <f t="shared" si="1"/>
        <v>-0.23</v>
      </c>
    </row>
    <row r="16" spans="1:3" ht="15" thickBot="1" x14ac:dyDescent="0.35">
      <c r="A16" s="21">
        <v>-15</v>
      </c>
      <c r="B16" s="23">
        <f t="shared" si="0"/>
        <v>-9.4</v>
      </c>
      <c r="C16" s="23">
        <f t="shared" si="1"/>
        <v>-0.22</v>
      </c>
    </row>
    <row r="17" spans="1:3" ht="15" thickBot="1" x14ac:dyDescent="0.35">
      <c r="A17" s="21">
        <v>0</v>
      </c>
      <c r="B17" s="23">
        <f t="shared" si="0"/>
        <v>0</v>
      </c>
      <c r="C17" s="23">
        <f t="shared" si="1"/>
        <v>0</v>
      </c>
    </row>
    <row r="18" spans="1:3" ht="15" thickBot="1" x14ac:dyDescent="0.35">
      <c r="A18" s="21">
        <v>15</v>
      </c>
      <c r="B18" s="23">
        <f t="shared" si="0"/>
        <v>8.6300000000000008</v>
      </c>
      <c r="C18" s="23">
        <f t="shared" si="1"/>
        <v>-0.49</v>
      </c>
    </row>
    <row r="19" spans="1:3" ht="15" thickBot="1" x14ac:dyDescent="0.35">
      <c r="A19" s="21">
        <v>30</v>
      </c>
      <c r="B19" s="23">
        <f t="shared" si="0"/>
        <v>-0.77</v>
      </c>
      <c r="C19" s="23">
        <f t="shared" si="1"/>
        <v>-0.77</v>
      </c>
    </row>
    <row r="20" spans="1:3" ht="15" thickBot="1" x14ac:dyDescent="0.35">
      <c r="A20" s="21">
        <v>45</v>
      </c>
      <c r="B20" s="23">
        <f t="shared" si="0"/>
        <v>2.23</v>
      </c>
      <c r="C20" s="23">
        <f t="shared" si="1"/>
        <v>-1.03</v>
      </c>
    </row>
    <row r="21" spans="1:3" ht="15" thickBot="1" x14ac:dyDescent="0.35">
      <c r="A21" s="21">
        <v>60</v>
      </c>
      <c r="B21" s="23">
        <f t="shared" si="0"/>
        <v>-1.25</v>
      </c>
      <c r="C21" s="23">
        <f t="shared" si="1"/>
        <v>-1.29</v>
      </c>
    </row>
    <row r="22" spans="1:3" ht="15" thickBot="1" x14ac:dyDescent="0.35">
      <c r="A22" s="21">
        <v>75</v>
      </c>
      <c r="B22" s="23">
        <f t="shared" si="0"/>
        <v>0.76</v>
      </c>
      <c r="C22" s="23">
        <f t="shared" si="1"/>
        <v>-1.57</v>
      </c>
    </row>
    <row r="23" spans="1:3" ht="15" thickBot="1" x14ac:dyDescent="0.35">
      <c r="A23" s="22">
        <v>90</v>
      </c>
      <c r="B23" s="23">
        <f t="shared" si="0"/>
        <v>-1.73</v>
      </c>
      <c r="C23" s="23">
        <f t="shared" si="1"/>
        <v>-1.89</v>
      </c>
    </row>
    <row r="24" spans="1:3" ht="43.2" x14ac:dyDescent="0.3">
      <c r="A24" s="26" t="s">
        <v>7</v>
      </c>
      <c r="B24" s="11">
        <f>MAX(B11:B23)</f>
        <v>8.6300000000000008</v>
      </c>
      <c r="C24" s="14">
        <f>MAX(C11:C23)</f>
        <v>0.15</v>
      </c>
    </row>
    <row r="25" spans="1:3" ht="43.2" x14ac:dyDescent="0.3">
      <c r="A25" s="27" t="s">
        <v>8</v>
      </c>
      <c r="B25" s="12">
        <f>MIN(B11:B23)</f>
        <v>-9.4</v>
      </c>
      <c r="C25" s="10">
        <f>MIN(C11:C23)</f>
        <v>-1.89</v>
      </c>
    </row>
    <row r="26" spans="1:3" ht="43.8" thickBot="1" x14ac:dyDescent="0.35">
      <c r="A26" s="28" t="s">
        <v>9</v>
      </c>
      <c r="B26" s="20">
        <f>COUNTIF(B11:B23,"-0,77")</f>
        <v>1</v>
      </c>
      <c r="C26" s="20">
        <f>COUNTIF(C11:C23,"-0,77")</f>
        <v>1</v>
      </c>
    </row>
  </sheetData>
  <mergeCells count="6">
    <mergeCell ref="A2:B2"/>
    <mergeCell ref="A3:B3"/>
    <mergeCell ref="A4:B4"/>
    <mergeCell ref="A7:C7"/>
    <mergeCell ref="B9:C9"/>
    <mergeCell ref="A9:A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F25"/>
  <sheetViews>
    <sheetView zoomScaleNormal="100" workbookViewId="0">
      <selection activeCell="C5" sqref="C5"/>
    </sheetView>
  </sheetViews>
  <sheetFormatPr defaultRowHeight="14.4" x14ac:dyDescent="0.3"/>
  <cols>
    <col min="2" max="2" width="12.88671875" customWidth="1"/>
    <col min="3" max="3" width="14.109375" customWidth="1"/>
  </cols>
  <sheetData>
    <row r="2" spans="1:3" ht="15" thickBot="1" x14ac:dyDescent="0.35"/>
    <row r="3" spans="1:3" ht="15" thickBot="1" x14ac:dyDescent="0.35">
      <c r="A3" s="86" t="s">
        <v>12</v>
      </c>
      <c r="B3" s="87"/>
      <c r="C3" s="29" t="s">
        <v>13</v>
      </c>
    </row>
    <row r="4" spans="1:3" x14ac:dyDescent="0.3">
      <c r="A4" s="88" t="s">
        <v>17</v>
      </c>
      <c r="B4" s="89"/>
      <c r="C4" s="13" t="s">
        <v>21</v>
      </c>
    </row>
    <row r="5" spans="1:3" x14ac:dyDescent="0.3">
      <c r="A5" s="82" t="s">
        <v>14</v>
      </c>
      <c r="B5" s="90"/>
      <c r="C5" s="10" t="s">
        <v>22</v>
      </c>
    </row>
    <row r="6" spans="1:3" x14ac:dyDescent="0.3">
      <c r="A6" s="82" t="s">
        <v>15</v>
      </c>
      <c r="B6" s="83"/>
      <c r="C6" s="16" t="s">
        <v>23</v>
      </c>
    </row>
    <row r="7" spans="1:3" x14ac:dyDescent="0.3">
      <c r="A7" s="82" t="s">
        <v>16</v>
      </c>
      <c r="B7" s="83"/>
      <c r="C7" s="33">
        <v>0.18</v>
      </c>
    </row>
    <row r="8" spans="1:3" x14ac:dyDescent="0.3">
      <c r="A8" s="91" t="s">
        <v>18</v>
      </c>
      <c r="B8" s="92"/>
      <c r="C8" s="34">
        <v>0.14000000000000001</v>
      </c>
    </row>
    <row r="9" spans="1:3" x14ac:dyDescent="0.3">
      <c r="A9" s="82" t="s">
        <v>19</v>
      </c>
      <c r="B9" s="83"/>
      <c r="C9" s="35">
        <v>0.13</v>
      </c>
    </row>
    <row r="10" spans="1:3" ht="15" thickBot="1" x14ac:dyDescent="0.35">
      <c r="A10" s="84" t="s">
        <v>20</v>
      </c>
      <c r="B10" s="85"/>
      <c r="C10" s="36">
        <v>0.2</v>
      </c>
    </row>
    <row r="22" spans="4:6" x14ac:dyDescent="0.3">
      <c r="D22" s="7"/>
    </row>
    <row r="23" spans="4:6" ht="17.399999999999999" customHeight="1" x14ac:dyDescent="0.3">
      <c r="E23" s="7"/>
    </row>
    <row r="24" spans="4:6" ht="14.4" customHeight="1" x14ac:dyDescent="0.3">
      <c r="E24" s="32"/>
      <c r="F24" s="7"/>
    </row>
    <row r="25" spans="4:6" x14ac:dyDescent="0.3">
      <c r="E25" s="7"/>
    </row>
  </sheetData>
  <mergeCells count="8">
    <mergeCell ref="A9:B9"/>
    <mergeCell ref="A10:B10"/>
    <mergeCell ref="A3:B3"/>
    <mergeCell ref="A4:B4"/>
    <mergeCell ref="A5:B5"/>
    <mergeCell ref="A6:B6"/>
    <mergeCell ref="A7:B7"/>
    <mergeCell ref="A8:B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I15"/>
  <sheetViews>
    <sheetView topLeftCell="I1" zoomScale="115" zoomScaleNormal="115" workbookViewId="0">
      <selection activeCell="F9" sqref="F9"/>
    </sheetView>
  </sheetViews>
  <sheetFormatPr defaultRowHeight="14.4" x14ac:dyDescent="0.3"/>
  <cols>
    <col min="2" max="2" width="23.77734375" customWidth="1"/>
    <col min="3" max="3" width="11.33203125" customWidth="1"/>
    <col min="5" max="5" width="10.6640625" customWidth="1"/>
    <col min="6" max="6" width="11.88671875" customWidth="1"/>
    <col min="8" max="8" width="16.21875" customWidth="1"/>
    <col min="9" max="9" width="12.5546875" customWidth="1"/>
  </cols>
  <sheetData>
    <row r="2" spans="1:9" ht="15" thickBot="1" x14ac:dyDescent="0.35">
      <c r="A2" s="95" t="s">
        <v>24</v>
      </c>
      <c r="B2" s="95"/>
      <c r="C2" s="95"/>
      <c r="D2" s="95"/>
      <c r="E2" s="95"/>
      <c r="F2" s="95"/>
    </row>
    <row r="3" spans="1:9" ht="29.4" customHeight="1" thickBot="1" x14ac:dyDescent="0.35">
      <c r="A3" s="53" t="s">
        <v>25</v>
      </c>
      <c r="B3" s="38" t="s">
        <v>26</v>
      </c>
      <c r="C3" s="54" t="s">
        <v>27</v>
      </c>
      <c r="D3" s="54" t="s">
        <v>28</v>
      </c>
      <c r="E3" s="55" t="s">
        <v>29</v>
      </c>
      <c r="F3" s="56" t="s">
        <v>30</v>
      </c>
    </row>
    <row r="4" spans="1:9" ht="16.2" x14ac:dyDescent="0.3">
      <c r="A4" s="39">
        <v>1</v>
      </c>
      <c r="B4" s="42" t="s">
        <v>31</v>
      </c>
      <c r="C4" s="46" t="s">
        <v>37</v>
      </c>
      <c r="D4" s="42">
        <v>30</v>
      </c>
      <c r="E4" s="42">
        <v>100</v>
      </c>
      <c r="F4" s="13">
        <f>D4*E4</f>
        <v>3000</v>
      </c>
    </row>
    <row r="5" spans="1:9" x14ac:dyDescent="0.3">
      <c r="A5" s="15">
        <v>2</v>
      </c>
      <c r="B5" s="30" t="s">
        <v>32</v>
      </c>
      <c r="C5" s="30" t="s">
        <v>36</v>
      </c>
      <c r="D5" s="24">
        <v>14</v>
      </c>
      <c r="E5" s="9">
        <v>600</v>
      </c>
      <c r="F5" s="8">
        <f>D5*E5</f>
        <v>8400</v>
      </c>
    </row>
    <row r="6" spans="1:9" ht="16.2" x14ac:dyDescent="0.3">
      <c r="A6" s="15">
        <v>3</v>
      </c>
      <c r="B6" s="9" t="s">
        <v>33</v>
      </c>
      <c r="C6" s="43" t="s">
        <v>37</v>
      </c>
      <c r="D6" s="30">
        <v>40</v>
      </c>
      <c r="E6" s="24">
        <v>130</v>
      </c>
      <c r="F6" s="10">
        <f>D6*E6</f>
        <v>5200</v>
      </c>
      <c r="H6" t="s">
        <v>47</v>
      </c>
      <c r="I6" t="str">
        <f>Справочник!C6</f>
        <v>Кудрин В.В.</v>
      </c>
    </row>
    <row r="7" spans="1:9" ht="16.2" x14ac:dyDescent="0.3">
      <c r="A7" s="21">
        <v>4</v>
      </c>
      <c r="B7" s="31" t="s">
        <v>34</v>
      </c>
      <c r="C7" s="41" t="s">
        <v>38</v>
      </c>
      <c r="D7" s="9">
        <v>40</v>
      </c>
      <c r="E7" s="9">
        <v>170</v>
      </c>
      <c r="F7" s="16">
        <f t="shared" ref="F7" si="0">D7*E7</f>
        <v>6800</v>
      </c>
      <c r="H7" t="s">
        <v>48</v>
      </c>
      <c r="I7" t="str">
        <f>Справочник!C5</f>
        <v>Семенова А.Н.</v>
      </c>
    </row>
    <row r="8" spans="1:9" ht="16.8" thickBot="1" x14ac:dyDescent="0.35">
      <c r="A8" s="17">
        <v>5</v>
      </c>
      <c r="B8" s="25" t="s">
        <v>35</v>
      </c>
      <c r="C8" s="44" t="s">
        <v>39</v>
      </c>
      <c r="D8" s="25">
        <v>25</v>
      </c>
      <c r="E8" s="25">
        <v>80</v>
      </c>
      <c r="F8" s="45">
        <v>2000</v>
      </c>
      <c r="H8" t="s">
        <v>49</v>
      </c>
      <c r="I8" s="57">
        <v>42762</v>
      </c>
    </row>
    <row r="9" spans="1:9" ht="15" thickBot="1" x14ac:dyDescent="0.35">
      <c r="A9" s="93" t="s">
        <v>40</v>
      </c>
      <c r="B9" s="96"/>
      <c r="C9" s="37"/>
      <c r="D9" s="47"/>
      <c r="E9" s="47"/>
      <c r="F9" s="48">
        <f>SUM(F4:F8)</f>
        <v>25400</v>
      </c>
    </row>
    <row r="10" spans="1:9" x14ac:dyDescent="0.3">
      <c r="A10" s="97" t="s">
        <v>42</v>
      </c>
      <c r="B10" s="98"/>
      <c r="C10" s="46" t="s">
        <v>46</v>
      </c>
      <c r="D10" s="42"/>
      <c r="E10" s="42"/>
      <c r="F10" s="14">
        <f>F9*Справочник!C8</f>
        <v>3556.0000000000005</v>
      </c>
    </row>
    <row r="11" spans="1:9" x14ac:dyDescent="0.3">
      <c r="A11" s="99" t="s">
        <v>41</v>
      </c>
      <c r="B11" s="100"/>
      <c r="C11" s="49" t="s">
        <v>46</v>
      </c>
      <c r="D11" s="9"/>
      <c r="E11" s="9"/>
      <c r="F11" s="8">
        <f>F9*Справочник!C7</f>
        <v>4572</v>
      </c>
    </row>
    <row r="12" spans="1:9" x14ac:dyDescent="0.3">
      <c r="A12" s="101" t="s">
        <v>43</v>
      </c>
      <c r="B12" s="100"/>
      <c r="C12" s="40" t="s">
        <v>46</v>
      </c>
      <c r="D12" s="9"/>
      <c r="E12" s="9"/>
      <c r="F12" s="10">
        <f>F9*Справочник!C9</f>
        <v>3302</v>
      </c>
    </row>
    <row r="13" spans="1:9" ht="15" thickBot="1" x14ac:dyDescent="0.35">
      <c r="A13" s="102" t="s">
        <v>44</v>
      </c>
      <c r="B13" s="103"/>
      <c r="C13" s="52" t="s">
        <v>46</v>
      </c>
      <c r="D13" s="20"/>
      <c r="E13" s="25"/>
      <c r="F13" s="58">
        <f>F9*Справочник!C10</f>
        <v>5080</v>
      </c>
    </row>
    <row r="14" spans="1:9" ht="15" thickBot="1" x14ac:dyDescent="0.35">
      <c r="A14" s="93" t="s">
        <v>45</v>
      </c>
      <c r="B14" s="94"/>
      <c r="C14" s="51"/>
      <c r="D14" s="50"/>
      <c r="E14" s="50"/>
      <c r="F14" s="48">
        <f>SUM(F9:F13)</f>
        <v>41910</v>
      </c>
    </row>
    <row r="15" spans="1:9" x14ac:dyDescent="0.3">
      <c r="A15" s="95"/>
      <c r="B15" s="95"/>
    </row>
  </sheetData>
  <mergeCells count="8">
    <mergeCell ref="A14:B14"/>
    <mergeCell ref="A15:B15"/>
    <mergeCell ref="A2:F2"/>
    <mergeCell ref="A9:B9"/>
    <mergeCell ref="A10:B10"/>
    <mergeCell ref="A11:B11"/>
    <mergeCell ref="A12:B12"/>
    <mergeCell ref="A13:B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"/>
  <sheetViews>
    <sheetView topLeftCell="O19" zoomScaleNormal="100" workbookViewId="0">
      <selection activeCell="R45" sqref="R45"/>
    </sheetView>
  </sheetViews>
  <sheetFormatPr defaultRowHeight="14.4" x14ac:dyDescent="0.3"/>
  <sheetData>
    <row r="3" spans="1:1" x14ac:dyDescent="0.3">
      <c r="A3" s="5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66"/>
  <sheetViews>
    <sheetView zoomScale="85" zoomScaleNormal="85" workbookViewId="0">
      <selection activeCell="M19" sqref="M19"/>
    </sheetView>
  </sheetViews>
  <sheetFormatPr defaultRowHeight="14.4" outlineLevelCol="2" x14ac:dyDescent="0.3"/>
  <cols>
    <col min="2" max="2" width="13.21875" customWidth="1"/>
    <col min="3" max="3" width="9.109375" customWidth="1"/>
    <col min="4" max="4" width="14.44140625" customWidth="1" outlineLevel="1"/>
    <col min="5" max="5" width="19.33203125" customWidth="1" outlineLevel="1"/>
    <col min="6" max="6" width="9.33203125" customWidth="1" outlineLevel="2"/>
    <col min="7" max="7" width="21.6640625" customWidth="1" outlineLevel="2"/>
    <col min="8" max="8" width="26.109375" customWidth="1"/>
  </cols>
  <sheetData>
    <row r="1" spans="1:8" x14ac:dyDescent="0.3">
      <c r="A1" t="s">
        <v>71</v>
      </c>
      <c r="B1" t="s">
        <v>79</v>
      </c>
      <c r="C1" t="s">
        <v>72</v>
      </c>
      <c r="D1" t="s">
        <v>17</v>
      </c>
      <c r="E1" t="s">
        <v>73</v>
      </c>
      <c r="F1" t="s">
        <v>74</v>
      </c>
      <c r="G1" t="s">
        <v>75</v>
      </c>
      <c r="H1" t="s">
        <v>125</v>
      </c>
    </row>
    <row r="2" spans="1:8" x14ac:dyDescent="0.3">
      <c r="A2">
        <v>1</v>
      </c>
      <c r="B2" t="s">
        <v>76</v>
      </c>
      <c r="C2" t="s">
        <v>106</v>
      </c>
      <c r="D2" t="s">
        <v>80</v>
      </c>
      <c r="E2" t="s">
        <v>117</v>
      </c>
      <c r="F2">
        <v>8848</v>
      </c>
      <c r="G2" t="s">
        <v>102</v>
      </c>
      <c r="H2">
        <v>1953</v>
      </c>
    </row>
    <row r="3" spans="1:8" x14ac:dyDescent="0.3">
      <c r="A3">
        <v>2</v>
      </c>
      <c r="B3" t="s">
        <v>76</v>
      </c>
      <c r="C3" t="s">
        <v>107</v>
      </c>
      <c r="D3" t="s">
        <v>81</v>
      </c>
      <c r="E3" t="s">
        <v>117</v>
      </c>
      <c r="F3">
        <v>8611</v>
      </c>
      <c r="G3" t="s">
        <v>122</v>
      </c>
      <c r="H3">
        <v>1954</v>
      </c>
    </row>
    <row r="4" spans="1:8" x14ac:dyDescent="0.3">
      <c r="A4">
        <v>3</v>
      </c>
      <c r="B4" t="s">
        <v>76</v>
      </c>
      <c r="C4" t="s">
        <v>108</v>
      </c>
      <c r="D4" t="s">
        <v>82</v>
      </c>
      <c r="E4" t="s">
        <v>117</v>
      </c>
      <c r="F4">
        <v>8586</v>
      </c>
      <c r="G4" t="s">
        <v>103</v>
      </c>
      <c r="H4">
        <v>1955</v>
      </c>
    </row>
    <row r="5" spans="1:8" x14ac:dyDescent="0.3">
      <c r="A5">
        <v>4</v>
      </c>
      <c r="B5" t="s">
        <v>76</v>
      </c>
      <c r="C5" t="s">
        <v>106</v>
      </c>
      <c r="D5" t="s">
        <v>83</v>
      </c>
      <c r="E5" t="s">
        <v>116</v>
      </c>
      <c r="F5">
        <v>7893</v>
      </c>
      <c r="G5" t="s">
        <v>104</v>
      </c>
      <c r="H5">
        <v>1960</v>
      </c>
    </row>
    <row r="6" spans="1:8" x14ac:dyDescent="0.3">
      <c r="A6">
        <v>5</v>
      </c>
      <c r="B6" t="s">
        <v>76</v>
      </c>
      <c r="C6" t="s">
        <v>107</v>
      </c>
      <c r="D6" t="s">
        <v>84</v>
      </c>
      <c r="E6" t="s">
        <v>116</v>
      </c>
      <c r="F6">
        <v>7884</v>
      </c>
      <c r="G6" t="s">
        <v>105</v>
      </c>
      <c r="H6">
        <v>1960</v>
      </c>
    </row>
    <row r="7" spans="1:8" x14ac:dyDescent="0.3">
      <c r="A7">
        <v>14</v>
      </c>
      <c r="B7" t="s">
        <v>121</v>
      </c>
      <c r="C7" t="s">
        <v>106</v>
      </c>
      <c r="D7" t="s">
        <v>91</v>
      </c>
      <c r="E7" t="s">
        <v>115</v>
      </c>
      <c r="F7">
        <v>6623</v>
      </c>
      <c r="G7" t="s">
        <v>100</v>
      </c>
      <c r="H7">
        <v>1964</v>
      </c>
    </row>
    <row r="8" spans="1:8" x14ac:dyDescent="0.3">
      <c r="A8">
        <v>13</v>
      </c>
      <c r="B8" t="s">
        <v>78</v>
      </c>
      <c r="C8" t="s">
        <v>112</v>
      </c>
      <c r="D8" t="s">
        <v>90</v>
      </c>
      <c r="E8" t="s">
        <v>115</v>
      </c>
      <c r="F8">
        <v>6354</v>
      </c>
      <c r="G8" t="s">
        <v>99</v>
      </c>
      <c r="H8">
        <v>1932</v>
      </c>
    </row>
    <row r="9" spans="1:8" x14ac:dyDescent="0.3">
      <c r="A9">
        <v>11</v>
      </c>
      <c r="B9" t="s">
        <v>118</v>
      </c>
      <c r="C9" t="s">
        <v>112</v>
      </c>
      <c r="D9" t="s">
        <v>88</v>
      </c>
      <c r="E9" t="s">
        <v>115</v>
      </c>
      <c r="F9">
        <v>6271</v>
      </c>
      <c r="G9" t="s">
        <v>97</v>
      </c>
      <c r="H9">
        <v>1952</v>
      </c>
    </row>
    <row r="10" spans="1:8" x14ac:dyDescent="0.3">
      <c r="A10">
        <v>15</v>
      </c>
      <c r="B10" t="s">
        <v>76</v>
      </c>
      <c r="C10" t="s">
        <v>108</v>
      </c>
      <c r="D10" t="s">
        <v>92</v>
      </c>
      <c r="E10" t="s">
        <v>115</v>
      </c>
      <c r="F10">
        <v>6221</v>
      </c>
      <c r="G10" t="s">
        <v>101</v>
      </c>
      <c r="H10">
        <v>1962</v>
      </c>
    </row>
    <row r="11" spans="1:8" x14ac:dyDescent="0.3">
      <c r="A11">
        <v>10</v>
      </c>
      <c r="B11" t="s">
        <v>118</v>
      </c>
      <c r="C11" t="s">
        <v>111</v>
      </c>
      <c r="D11" t="s">
        <v>87</v>
      </c>
      <c r="E11" t="s">
        <v>115</v>
      </c>
      <c r="F11">
        <v>6190</v>
      </c>
      <c r="G11" t="s">
        <v>96</v>
      </c>
      <c r="H11">
        <v>1913</v>
      </c>
    </row>
    <row r="12" spans="1:8" x14ac:dyDescent="0.3">
      <c r="A12">
        <v>12</v>
      </c>
      <c r="B12" t="s">
        <v>77</v>
      </c>
      <c r="C12" t="s">
        <v>120</v>
      </c>
      <c r="D12" t="s">
        <v>119</v>
      </c>
      <c r="E12" t="s">
        <v>113</v>
      </c>
      <c r="F12">
        <v>4634</v>
      </c>
      <c r="G12" t="s">
        <v>123</v>
      </c>
      <c r="H12">
        <v>1855</v>
      </c>
    </row>
    <row r="13" spans="1:8" x14ac:dyDescent="0.3">
      <c r="A13">
        <v>9</v>
      </c>
      <c r="B13" t="s">
        <v>77</v>
      </c>
      <c r="C13" t="s">
        <v>126</v>
      </c>
      <c r="D13" t="s">
        <v>93</v>
      </c>
      <c r="E13" t="s">
        <v>113</v>
      </c>
      <c r="F13">
        <v>4140</v>
      </c>
      <c r="G13" t="s">
        <v>94</v>
      </c>
      <c r="H13">
        <v>1890</v>
      </c>
    </row>
    <row r="14" spans="1:8" x14ac:dyDescent="0.3">
      <c r="A14">
        <v>8</v>
      </c>
      <c r="B14" t="s">
        <v>76</v>
      </c>
      <c r="C14" t="s">
        <v>110</v>
      </c>
      <c r="D14" t="s">
        <v>85</v>
      </c>
      <c r="E14" t="s">
        <v>114</v>
      </c>
      <c r="F14">
        <v>5032</v>
      </c>
      <c r="G14" t="s">
        <v>124</v>
      </c>
      <c r="H14">
        <v>1868</v>
      </c>
    </row>
    <row r="15" spans="1:8" x14ac:dyDescent="0.3">
      <c r="A15">
        <v>6</v>
      </c>
      <c r="B15" t="s">
        <v>77</v>
      </c>
      <c r="C15" t="s">
        <v>109</v>
      </c>
      <c r="D15" t="s">
        <v>89</v>
      </c>
      <c r="E15" t="s">
        <v>115</v>
      </c>
      <c r="F15">
        <v>6148</v>
      </c>
      <c r="G15" t="s">
        <v>98</v>
      </c>
      <c r="H15">
        <v>1928</v>
      </c>
    </row>
    <row r="16" spans="1:8" x14ac:dyDescent="0.3">
      <c r="A16">
        <v>7</v>
      </c>
      <c r="B16" t="s">
        <v>77</v>
      </c>
      <c r="C16" t="s">
        <v>109</v>
      </c>
      <c r="D16" t="s">
        <v>86</v>
      </c>
      <c r="E16" t="s">
        <v>114</v>
      </c>
      <c r="F16">
        <v>5642</v>
      </c>
      <c r="G16" t="s">
        <v>95</v>
      </c>
      <c r="H16">
        <v>1829</v>
      </c>
    </row>
    <row r="52" spans="1:8" x14ac:dyDescent="0.3">
      <c r="A52">
        <v>1</v>
      </c>
      <c r="E52" t="s">
        <v>113</v>
      </c>
      <c r="H52">
        <v>1953</v>
      </c>
    </row>
    <row r="53" spans="1:8" x14ac:dyDescent="0.3">
      <c r="A53">
        <v>2</v>
      </c>
      <c r="E53" t="s">
        <v>114</v>
      </c>
      <c r="H53">
        <v>1954</v>
      </c>
    </row>
    <row r="54" spans="1:8" x14ac:dyDescent="0.3">
      <c r="A54">
        <v>3</v>
      </c>
      <c r="E54" t="s">
        <v>115</v>
      </c>
      <c r="H54">
        <v>1955</v>
      </c>
    </row>
    <row r="55" spans="1:8" x14ac:dyDescent="0.3">
      <c r="A55">
        <v>4</v>
      </c>
      <c r="E55" t="s">
        <v>116</v>
      </c>
      <c r="H55">
        <v>1960</v>
      </c>
    </row>
    <row r="56" spans="1:8" x14ac:dyDescent="0.3">
      <c r="A56">
        <v>5</v>
      </c>
      <c r="E56" t="s">
        <v>117</v>
      </c>
      <c r="H56">
        <v>1960</v>
      </c>
    </row>
    <row r="57" spans="1:8" x14ac:dyDescent="0.3">
      <c r="A57">
        <v>6</v>
      </c>
      <c r="H57">
        <v>1964</v>
      </c>
    </row>
    <row r="58" spans="1:8" x14ac:dyDescent="0.3">
      <c r="A58">
        <v>7</v>
      </c>
      <c r="H58">
        <v>1932</v>
      </c>
    </row>
    <row r="59" spans="1:8" x14ac:dyDescent="0.3">
      <c r="A59">
        <v>8</v>
      </c>
      <c r="H59">
        <v>1952</v>
      </c>
    </row>
    <row r="60" spans="1:8" x14ac:dyDescent="0.3">
      <c r="A60">
        <v>9</v>
      </c>
      <c r="H60">
        <v>1962</v>
      </c>
    </row>
    <row r="61" spans="1:8" x14ac:dyDescent="0.3">
      <c r="A61">
        <v>10</v>
      </c>
      <c r="H61">
        <v>1913</v>
      </c>
    </row>
    <row r="62" spans="1:8" x14ac:dyDescent="0.3">
      <c r="A62">
        <v>11</v>
      </c>
      <c r="H62">
        <v>1928</v>
      </c>
    </row>
    <row r="63" spans="1:8" x14ac:dyDescent="0.3">
      <c r="A63">
        <v>12</v>
      </c>
      <c r="H63">
        <v>1829</v>
      </c>
    </row>
    <row r="64" spans="1:8" x14ac:dyDescent="0.3">
      <c r="A64">
        <v>13</v>
      </c>
      <c r="H64">
        <v>1868</v>
      </c>
    </row>
    <row r="65" spans="1:8" x14ac:dyDescent="0.3">
      <c r="A65">
        <v>14</v>
      </c>
      <c r="H65">
        <v>1855</v>
      </c>
    </row>
    <row r="66" spans="1:8" x14ac:dyDescent="0.3">
      <c r="A66">
        <v>15</v>
      </c>
      <c r="H66">
        <v>1890</v>
      </c>
    </row>
  </sheetData>
  <sortState ref="A2:H16">
    <sortCondition descending="1" ref="F2:F16"/>
  </sortState>
  <dataValidations count="3">
    <dataValidation type="list" allowBlank="1" showInputMessage="1" showErrorMessage="1" errorTitle="Ошибка!" error="Выберите из списка!_x000a_" promptTitle="Номер." prompt="Выберите из списка!_x000a_" sqref="A2:A16">
      <formula1>$A$52:$A$66</formula1>
    </dataValidation>
    <dataValidation type="list" allowBlank="1" showInputMessage="1" showErrorMessage="1" errorTitle="Ошибка!" error="Выберите из списка!" promptTitle="Диапозон высоты." prompt="Выберите из списка!" sqref="E2:E16">
      <formula1>$E$52:$E$56</formula1>
    </dataValidation>
    <dataValidation type="list" allowBlank="1" showInputMessage="1" showErrorMessage="1" errorTitle="Ошибка!" error="Выберите из списка!" promptTitle="Год первого восхождения." prompt="Выберите из списка!" sqref="H2:H16">
      <formula1>$H$52:$H$66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22"/>
  <sheetViews>
    <sheetView workbookViewId="0">
      <selection activeCell="C8" sqref="C8"/>
    </sheetView>
  </sheetViews>
  <sheetFormatPr defaultRowHeight="14.4" x14ac:dyDescent="0.3"/>
  <cols>
    <col min="1" max="1" width="26.44140625" customWidth="1"/>
    <col min="2" max="2" width="14" customWidth="1"/>
    <col min="3" max="3" width="14.77734375" customWidth="1"/>
    <col min="4" max="4" width="14.21875" customWidth="1"/>
  </cols>
  <sheetData>
    <row r="1" spans="1:3" ht="15" thickBot="1" x14ac:dyDescent="0.35">
      <c r="A1" t="s">
        <v>50</v>
      </c>
    </row>
    <row r="2" spans="1:3" ht="15" thickBot="1" x14ac:dyDescent="0.35">
      <c r="A2" s="60" t="s">
        <v>51</v>
      </c>
      <c r="B2" s="65" t="s">
        <v>52</v>
      </c>
      <c r="C2" s="65" t="s">
        <v>53</v>
      </c>
    </row>
    <row r="3" spans="1:3" ht="15" thickBot="1" x14ac:dyDescent="0.35">
      <c r="A3" s="67" t="s">
        <v>54</v>
      </c>
      <c r="B3" s="16">
        <v>6</v>
      </c>
      <c r="C3" s="64" t="str">
        <f>IF(ISNA(VLOOKUP(A3,'F(part2)'!$A$3:$B$13,2,0)),"Нет на рынке",VLOOKUP(A3,'F(part2)'!$A$3:$B$13,2,0)*B3)</f>
        <v>Нет на рынке</v>
      </c>
    </row>
    <row r="4" spans="1:3" ht="15" thickBot="1" x14ac:dyDescent="0.35">
      <c r="A4" s="67" t="s">
        <v>55</v>
      </c>
      <c r="B4" s="61">
        <v>2</v>
      </c>
      <c r="C4" s="64">
        <f>IF(ISNA(VLOOKUP(A4,'F(part2)'!$A$3:$B$13,2,0)),"Нет на рынке",VLOOKUP(A4,'F(part2)'!$A$3:$B$13,2,0)*B4)</f>
        <v>310</v>
      </c>
    </row>
    <row r="5" spans="1:3" ht="15" thickBot="1" x14ac:dyDescent="0.35">
      <c r="A5" s="68" t="s">
        <v>56</v>
      </c>
      <c r="B5" s="69">
        <v>1</v>
      </c>
      <c r="C5" s="64" t="str">
        <f>IF(ISNA(VLOOKUP(A5,'F(part2)'!$A$3:$B$13,2,0)),"Нет на рынке",VLOOKUP(A5,'F(part2)'!$A$3:$B$13,2,0)*B5)</f>
        <v>Нет на рынке</v>
      </c>
    </row>
    <row r="6" spans="1:3" ht="15" thickBot="1" x14ac:dyDescent="0.35">
      <c r="A6" s="68" t="s">
        <v>57</v>
      </c>
      <c r="B6" s="69">
        <v>4</v>
      </c>
      <c r="C6" s="64">
        <f>IF(ISNA(VLOOKUP(A6,'F(part2)'!$A$3:$B$13,2,0)),"Нет на рынке",VLOOKUP(A6,'F(part2)'!$A$3:$B$13,2,0)*B6)</f>
        <v>184</v>
      </c>
    </row>
    <row r="7" spans="1:3" ht="15" thickBot="1" x14ac:dyDescent="0.35">
      <c r="A7" s="68" t="s">
        <v>58</v>
      </c>
      <c r="B7" s="69">
        <v>2</v>
      </c>
      <c r="C7" s="64">
        <f>IF(ISNA(VLOOKUP(A7,'F(part2)'!$A$3:$B$13,2,0)),"Нет на рынке",VLOOKUP(A7,'F(part2)'!$A$3:$B$13,2,0)*B7)</f>
        <v>52</v>
      </c>
    </row>
    <row r="8" spans="1:3" ht="15" thickBot="1" x14ac:dyDescent="0.35">
      <c r="A8" s="63" t="s">
        <v>59</v>
      </c>
      <c r="B8" s="64">
        <v>5</v>
      </c>
      <c r="C8" s="64">
        <f>IF(ISNA(VLOOKUP(A8,'F(part2)'!$A$3:$B$13,2,0)),"Нет на рынке",VLOOKUP(A8,'F(part2)'!$A$3:$B$13,2,0)*B8)</f>
        <v>5000</v>
      </c>
    </row>
    <row r="9" spans="1:3" ht="15" thickBot="1" x14ac:dyDescent="0.35">
      <c r="A9" s="63" t="s">
        <v>60</v>
      </c>
      <c r="B9" s="64">
        <v>3</v>
      </c>
      <c r="C9" s="64">
        <f>IF(ISNA(VLOOKUP(A9,'F(part2)'!$A$3:$B$13,2,0)),"Нет на рынке",VLOOKUP(A9,'F(part2)'!$A$3:$B$13,2,0)*B9)</f>
        <v>21</v>
      </c>
    </row>
    <row r="10" spans="1:3" ht="15" thickBot="1" x14ac:dyDescent="0.35">
      <c r="A10" s="63" t="s">
        <v>61</v>
      </c>
      <c r="B10" s="64">
        <v>9</v>
      </c>
      <c r="C10" s="64">
        <f>IF(ISNA(VLOOKUP(A10,'F(part2)'!$A$3:$B$13,2,0)),"Нет на рынке",VLOOKUP(A10,'F(part2)'!$A$3:$B$13,2,0)*B10)</f>
        <v>58.5</v>
      </c>
    </row>
    <row r="11" spans="1:3" ht="15" thickBot="1" x14ac:dyDescent="0.35">
      <c r="A11" s="63" t="s">
        <v>62</v>
      </c>
      <c r="B11" s="64">
        <v>7</v>
      </c>
      <c r="C11" s="64" t="str">
        <f>IF(ISNA(VLOOKUP(A11,'F(part2)'!$A$3:$B$13,2,0)),"Нет на рынке",VLOOKUP(A11,'F(part2)'!$A$3:$B$13,2,0)*B11)</f>
        <v>Нет на рынке</v>
      </c>
    </row>
    <row r="12" spans="1:3" ht="15" thickBot="1" x14ac:dyDescent="0.35">
      <c r="A12" s="63" t="s">
        <v>63</v>
      </c>
      <c r="B12" s="64">
        <v>2</v>
      </c>
      <c r="C12" s="64">
        <f>IF(ISNA(VLOOKUP(A12,'F(part2)'!$A$3:$B$13,2,0)),"Нет на рынке",VLOOKUP(A12,'F(part2)'!$A$3:$B$13,2,0)*B12)</f>
        <v>1000</v>
      </c>
    </row>
    <row r="13" spans="1:3" ht="15" thickBot="1" x14ac:dyDescent="0.35">
      <c r="A13" s="63" t="s">
        <v>64</v>
      </c>
      <c r="B13" s="66">
        <v>1</v>
      </c>
      <c r="C13" s="64">
        <f>IF(ISNA(VLOOKUP(A13,'F(part2)'!$A$3:$B$13,2,0)),"Нет на рынке",VLOOKUP(A13,'F(part2)'!$A$3:$B$13,2,0)*B13)</f>
        <v>19</v>
      </c>
    </row>
    <row r="14" spans="1:3" ht="15" thickBot="1" x14ac:dyDescent="0.35">
      <c r="B14" s="62" t="s">
        <v>65</v>
      </c>
      <c r="C14" s="63">
        <f>SUM(C3:C13)</f>
        <v>6644.5</v>
      </c>
    </row>
    <row r="18" spans="1:2" x14ac:dyDescent="0.3">
      <c r="A18" s="7"/>
    </row>
    <row r="22" spans="1:2" x14ac:dyDescent="0.3">
      <c r="B22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3"/>
  <sheetViews>
    <sheetView workbookViewId="0">
      <selection activeCell="D6" sqref="D6"/>
    </sheetView>
  </sheetViews>
  <sheetFormatPr defaultRowHeight="14.4" x14ac:dyDescent="0.3"/>
  <cols>
    <col min="1" max="1" width="24.6640625" customWidth="1"/>
    <col min="2" max="2" width="14.109375" customWidth="1"/>
  </cols>
  <sheetData>
    <row r="1" spans="1:2" x14ac:dyDescent="0.3">
      <c r="A1" t="s">
        <v>66</v>
      </c>
    </row>
    <row r="2" spans="1:2" ht="15" thickBot="1" x14ac:dyDescent="0.35">
      <c r="A2" s="70" t="s">
        <v>51</v>
      </c>
      <c r="B2" s="70" t="s">
        <v>67</v>
      </c>
    </row>
    <row r="3" spans="1:2" ht="15" thickBot="1" x14ac:dyDescent="0.35">
      <c r="A3" s="67" t="s">
        <v>55</v>
      </c>
      <c r="B3" s="9">
        <v>155</v>
      </c>
    </row>
    <row r="4" spans="1:2" x14ac:dyDescent="0.3">
      <c r="A4" s="9" t="s">
        <v>64</v>
      </c>
      <c r="B4" s="9">
        <v>19</v>
      </c>
    </row>
    <row r="5" spans="1:2" x14ac:dyDescent="0.3">
      <c r="A5" s="9" t="s">
        <v>68</v>
      </c>
      <c r="B5" s="71">
        <v>1.5</v>
      </c>
    </row>
    <row r="6" spans="1:2" x14ac:dyDescent="0.3">
      <c r="A6" s="9" t="s">
        <v>57</v>
      </c>
      <c r="B6" s="9">
        <v>46</v>
      </c>
    </row>
    <row r="7" spans="1:2" x14ac:dyDescent="0.3">
      <c r="A7" s="9" t="s">
        <v>70</v>
      </c>
      <c r="B7" s="9">
        <v>53</v>
      </c>
    </row>
    <row r="8" spans="1:2" x14ac:dyDescent="0.3">
      <c r="A8" s="9" t="s">
        <v>58</v>
      </c>
      <c r="B8" s="9">
        <v>26</v>
      </c>
    </row>
    <row r="9" spans="1:2" x14ac:dyDescent="0.3">
      <c r="A9" s="9" t="s">
        <v>60</v>
      </c>
      <c r="B9" s="9">
        <v>7</v>
      </c>
    </row>
    <row r="10" spans="1:2" x14ac:dyDescent="0.3">
      <c r="A10" s="9" t="s">
        <v>61</v>
      </c>
      <c r="B10" s="72">
        <v>6.5</v>
      </c>
    </row>
    <row r="11" spans="1:2" x14ac:dyDescent="0.3">
      <c r="A11" s="9" t="s">
        <v>59</v>
      </c>
      <c r="B11" s="9">
        <v>1000</v>
      </c>
    </row>
    <row r="12" spans="1:2" x14ac:dyDescent="0.3">
      <c r="A12" s="9" t="s">
        <v>69</v>
      </c>
      <c r="B12" s="9">
        <v>450</v>
      </c>
    </row>
    <row r="13" spans="1:2" x14ac:dyDescent="0.3">
      <c r="A13" s="9" t="s">
        <v>63</v>
      </c>
      <c r="B13" s="9">
        <v>500</v>
      </c>
    </row>
  </sheetData>
  <sortState ref="A4:B13">
    <sortCondition ref="A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2:E9"/>
  <sheetViews>
    <sheetView tabSelected="1" workbookViewId="0">
      <selection activeCell="C4" sqref="C4"/>
    </sheetView>
  </sheetViews>
  <sheetFormatPr defaultRowHeight="14.4" x14ac:dyDescent="0.3"/>
  <cols>
    <col min="1" max="1" width="10.109375" bestFit="1" customWidth="1"/>
    <col min="3" max="3" width="10.21875" customWidth="1"/>
    <col min="4" max="4" width="11.21875" customWidth="1"/>
    <col min="5" max="5" width="4.77734375" bestFit="1" customWidth="1"/>
  </cols>
  <sheetData>
    <row r="2" spans="1:5" x14ac:dyDescent="0.3">
      <c r="A2" s="104" t="s">
        <v>127</v>
      </c>
      <c r="B2" s="104"/>
      <c r="C2" s="104"/>
      <c r="D2" s="57">
        <v>43743</v>
      </c>
    </row>
    <row r="4" spans="1:5" x14ac:dyDescent="0.3">
      <c r="A4" s="105" t="s">
        <v>128</v>
      </c>
      <c r="B4" s="105"/>
      <c r="C4" s="9">
        <v>1</v>
      </c>
    </row>
    <row r="5" spans="1:5" x14ac:dyDescent="0.3">
      <c r="A5" s="9" t="s">
        <v>129</v>
      </c>
      <c r="B5" s="9" t="s">
        <v>130</v>
      </c>
      <c r="C5" s="9" t="s">
        <v>140</v>
      </c>
      <c r="D5" s="9" t="s">
        <v>139</v>
      </c>
      <c r="E5" s="9" t="s">
        <v>141</v>
      </c>
    </row>
    <row r="6" spans="1:5" x14ac:dyDescent="0.3">
      <c r="A6" s="73">
        <v>43743</v>
      </c>
      <c r="B6" s="74">
        <v>0.41666666666666669</v>
      </c>
      <c r="C6" s="9" t="s">
        <v>131</v>
      </c>
      <c r="D6" s="9" t="s">
        <v>135</v>
      </c>
      <c r="E6" s="9"/>
    </row>
    <row r="7" spans="1:5" x14ac:dyDescent="0.3">
      <c r="A7" s="73">
        <v>43743</v>
      </c>
      <c r="B7" s="74">
        <v>0.5</v>
      </c>
      <c r="C7" s="9" t="s">
        <v>132</v>
      </c>
      <c r="D7" s="9" t="s">
        <v>136</v>
      </c>
      <c r="E7" s="9"/>
    </row>
    <row r="8" spans="1:5" x14ac:dyDescent="0.3">
      <c r="A8" s="73">
        <v>43744</v>
      </c>
      <c r="B8" s="74">
        <v>0.41666666666666669</v>
      </c>
      <c r="C8" s="9" t="s">
        <v>133</v>
      </c>
      <c r="D8" s="9" t="s">
        <v>137</v>
      </c>
      <c r="E8" s="9"/>
    </row>
    <row r="9" spans="1:5" x14ac:dyDescent="0.3">
      <c r="A9" s="73">
        <v>43744</v>
      </c>
      <c r="B9" s="74">
        <v>0.5</v>
      </c>
      <c r="C9" s="9" t="s">
        <v>134</v>
      </c>
      <c r="D9" s="9" t="s">
        <v>138</v>
      </c>
      <c r="E9" s="9"/>
    </row>
  </sheetData>
  <mergeCells count="2">
    <mergeCell ref="A2:C2"/>
    <mergeCell ref="A4: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3" r:id="rId3" name="CommandButton1">
          <controlPr autoLine="0" r:id="rId4">
            <anchor moveWithCells="1">
              <from>
                <xdr:col>0</xdr:col>
                <xdr:colOff>365760</xdr:colOff>
                <xdr:row>10</xdr:row>
                <xdr:rowOff>60960</xdr:rowOff>
              </from>
              <to>
                <xdr:col>3</xdr:col>
                <xdr:colOff>106680</xdr:colOff>
                <xdr:row>12</xdr:row>
                <xdr:rowOff>83820</xdr:rowOff>
              </to>
            </anchor>
          </controlPr>
        </control>
      </mc:Choice>
      <mc:Fallback>
        <control shapeId="1024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2:E9"/>
  <sheetViews>
    <sheetView workbookViewId="0">
      <selection activeCell="C4" sqref="C4"/>
    </sheetView>
  </sheetViews>
  <sheetFormatPr defaultRowHeight="14.4" x14ac:dyDescent="0.3"/>
  <cols>
    <col min="1" max="1" width="10.109375" bestFit="1" customWidth="1"/>
    <col min="3" max="3" width="11.77734375" customWidth="1"/>
    <col min="4" max="4" width="10.109375" bestFit="1" customWidth="1"/>
  </cols>
  <sheetData>
    <row r="2" spans="1:5" x14ac:dyDescent="0.3">
      <c r="A2" s="104" t="s">
        <v>127</v>
      </c>
      <c r="B2" s="104"/>
      <c r="C2" s="104"/>
      <c r="D2" s="57">
        <v>43743</v>
      </c>
    </row>
    <row r="4" spans="1:5" x14ac:dyDescent="0.3">
      <c r="A4" s="105" t="s">
        <v>128</v>
      </c>
      <c r="B4" s="105"/>
      <c r="C4" s="9">
        <v>0</v>
      </c>
    </row>
    <row r="5" spans="1:5" x14ac:dyDescent="0.3">
      <c r="A5" s="9" t="s">
        <v>129</v>
      </c>
      <c r="B5" s="9" t="s">
        <v>130</v>
      </c>
      <c r="C5" s="9" t="s">
        <v>140</v>
      </c>
      <c r="D5" s="9" t="s">
        <v>139</v>
      </c>
      <c r="E5" s="9" t="s">
        <v>141</v>
      </c>
    </row>
    <row r="6" spans="1:5" x14ac:dyDescent="0.3">
      <c r="A6" s="73">
        <v>43743</v>
      </c>
      <c r="B6" s="74">
        <v>0.41666666666666669</v>
      </c>
      <c r="C6" s="9" t="s">
        <v>131</v>
      </c>
      <c r="D6" s="9" t="s">
        <v>136</v>
      </c>
      <c r="E6" s="9"/>
    </row>
    <row r="7" spans="1:5" x14ac:dyDescent="0.3">
      <c r="A7" s="73">
        <v>43743</v>
      </c>
      <c r="B7" s="74">
        <v>0.5</v>
      </c>
      <c r="C7" s="9" t="s">
        <v>132</v>
      </c>
      <c r="D7" s="9" t="s">
        <v>137</v>
      </c>
      <c r="E7" s="9"/>
    </row>
    <row r="8" spans="1:5" x14ac:dyDescent="0.3">
      <c r="A8" s="73">
        <v>43744</v>
      </c>
      <c r="B8" s="74">
        <v>0.41666666666666669</v>
      </c>
      <c r="C8" s="9" t="s">
        <v>133</v>
      </c>
      <c r="D8" s="9" t="s">
        <v>138</v>
      </c>
      <c r="E8" s="9"/>
    </row>
    <row r="9" spans="1:5" x14ac:dyDescent="0.3">
      <c r="A9" s="73">
        <v>43744</v>
      </c>
      <c r="B9" s="74">
        <v>0.5</v>
      </c>
      <c r="C9" s="9" t="s">
        <v>134</v>
      </c>
      <c r="D9" s="9" t="s">
        <v>135</v>
      </c>
      <c r="E9" s="9"/>
    </row>
  </sheetData>
  <mergeCells count="2">
    <mergeCell ref="A2:C2"/>
    <mergeCell ref="A4: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CommandButton1">
          <controlPr autoLine="0" r:id="rId4">
            <anchor moveWithCells="1">
              <from>
                <xdr:col>1</xdr:col>
                <xdr:colOff>251460</xdr:colOff>
                <xdr:row>10</xdr:row>
                <xdr:rowOff>60960</xdr:rowOff>
              </from>
              <to>
                <xdr:col>2</xdr:col>
                <xdr:colOff>556260</xdr:colOff>
                <xdr:row>12</xdr:row>
                <xdr:rowOff>0</xdr:rowOff>
              </to>
            </anchor>
          </controlPr>
        </control>
      </mc:Choice>
      <mc:Fallback>
        <control shapeId="2457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</vt:i4>
      </vt:variant>
    </vt:vector>
  </HeadingPairs>
  <TitlesOfParts>
    <vt:vector size="11" baseType="lpstr">
      <vt:lpstr>A-4</vt:lpstr>
      <vt:lpstr>Справочник</vt:lpstr>
      <vt:lpstr>Расчет</vt:lpstr>
      <vt:lpstr>Диаграмма</vt:lpstr>
      <vt:lpstr>D(2)</vt:lpstr>
      <vt:lpstr>F(part 1)</vt:lpstr>
      <vt:lpstr>F(part2)</vt:lpstr>
      <vt:lpstr>G(3)</vt:lpstr>
      <vt:lpstr>Лист8</vt:lpstr>
      <vt:lpstr>Расчет!Семенова_А.Н.</vt:lpstr>
      <vt:lpstr>Расчет!Смету_проверил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Takumi F</dc:creator>
  <cp:lastModifiedBy>Takumi F</cp:lastModifiedBy>
  <dcterms:created xsi:type="dcterms:W3CDTF">2020-11-26T10:15:13Z</dcterms:created>
  <dcterms:modified xsi:type="dcterms:W3CDTF">2020-11-30T06:00:05Z</dcterms:modified>
</cp:coreProperties>
</file>